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5"/>
    <sheet state="visible" name="Copie a foii Foaie1" sheetId="2" r:id="rId6"/>
  </sheets>
  <definedNames/>
  <calcPr/>
</workbook>
</file>

<file path=xl/sharedStrings.xml><?xml version="1.0" encoding="utf-8"?>
<sst xmlns="http://schemas.openxmlformats.org/spreadsheetml/2006/main" count="287" uniqueCount="143">
  <si>
    <t>Test Suite/Scenario</t>
  </si>
  <si>
    <t>TestCaseID - no.</t>
  </si>
  <si>
    <t>TestCaseID - Title</t>
  </si>
  <si>
    <t>Priority</t>
  </si>
  <si>
    <t>Automated</t>
  </si>
  <si>
    <t>Test Steps</t>
  </si>
  <si>
    <t>Test Data</t>
  </si>
  <si>
    <t>Expected Result</t>
  </si>
  <si>
    <t>Actual Result</t>
  </si>
  <si>
    <t>Pass/Fail/Blocked</t>
  </si>
  <si>
    <t>BUG ID</t>
  </si>
  <si>
    <t>Interfata Login</t>
  </si>
  <si>
    <t xml:space="preserve"> Verificare Username si parola valide</t>
  </si>
  <si>
    <t>P1</t>
  </si>
  <si>
    <t>n/a</t>
  </si>
  <si>
    <t>1. Acceseaza in browser link  https://www.saucedemo.com
2. completeaza standard_user in camp username
3. completeaza secret_sauce  in camp password 
4.  selecteaza login</t>
  </si>
  <si>
    <t>1. User: standard_user
2. Password: secret_sauce</t>
  </si>
  <si>
    <t>Redirectionare catre Home Page</t>
  </si>
  <si>
    <t>PASS</t>
  </si>
  <si>
    <t xml:space="preserve"> Verificare  Username si parola invalita</t>
  </si>
  <si>
    <t>1. Acceseaza in browser link  https://www.saucedemo.com 
2. Completeaza standard_user in camp username
3. Completeaza testare_parola  in camp  password 
3. Selecteaza login</t>
  </si>
  <si>
    <t>1. User: standard_user
2. Password: testare_parola</t>
  </si>
  <si>
    <t>Mesaj Eroare: Epic sadface: Username and password do not match any user in this service</t>
  </si>
  <si>
    <t>Verificare  Username inexistent si parola</t>
  </si>
  <si>
    <t>1. Acceseaza in browser link  https://www.saucedemo.com
2. Completeaza testare_user in camp username 
3.  Completeaza secret_sauce in camp  password 
4. Selecteaza login</t>
  </si>
  <si>
    <t>1. User: testare_user
2. Password: secret_sauce</t>
  </si>
  <si>
    <t>Verificare  Logare cu user null si parola "valida"</t>
  </si>
  <si>
    <t>1. Acceseaza in browser link  https://www.saucedemo.com
2.  Completeaza password: secret_sauce  
4. Selecteaza login</t>
  </si>
  <si>
    <t>1. User: null
2. Password: secret_sauce</t>
  </si>
  <si>
    <t>Verificare password masking</t>
  </si>
  <si>
    <t>1. Acceseaza in browser link  https://www.saucedemo.com
2. Completeaza secret_sauce  in camp password 
 3. verifica informatiile</t>
  </si>
  <si>
    <t>Pe parcursul completarii parolei va aparea ssimbolul "*" pentru fiecare caracter completat</t>
  </si>
  <si>
    <t>Pe parcursul completarii parolei apare simbolul "*" pentru fiecare caracter completat</t>
  </si>
  <si>
    <t>Pagina produse</t>
  </si>
  <si>
    <t>Sortare alfabetic A&gt;Z</t>
  </si>
  <si>
    <t>P3</t>
  </si>
  <si>
    <t>1. Acceseaza in browser link  https://www.saucedemo.com 
2.  Autentificare User: standard_user/Password: secret_sauce si select login
3.  In pagina produse selecteaza pictograma aferenta optiunii de sortare
4.  Selecteaza "A-Z" din lista derulanta</t>
  </si>
  <si>
    <t>Lista de produse o sa fie sortata in ordine alfabetica</t>
  </si>
  <si>
    <t>Lista de produse este sortata in ordine alfabetica</t>
  </si>
  <si>
    <t>Sortare alfabetic Z&gt;A</t>
  </si>
  <si>
    <t>1. Acceseaza in browser link  https://www.saucedemo.com
2.  Autentificare User: standard_user/Password: secret_sauce si select login
3.  In pagina produse selecteaza pictograma aferenta optiunii de sortare
4.  Selecteaza "Z-A" din lista derulanta</t>
  </si>
  <si>
    <t>Lista de produse o sa fie sortata in ordine Z-A</t>
  </si>
  <si>
    <t>Lista de produse este  sortata in ordine Z-A</t>
  </si>
  <si>
    <t>Sortare dupa pret crescator</t>
  </si>
  <si>
    <t>1. Acceseaza in browser link  https://www.saucedemo.com 
2.  Autentificare User: standard_user/Password: secret_sauce si select login
3.  In pagina produse selecteaza pictograma aferenta optiunii de sortare
4.  Selecteaza "sorteaza pret crescator" din lista derulanta</t>
  </si>
  <si>
    <t xml:space="preserve">Lista de produse o sa fie sortata crescator in baza pretului </t>
  </si>
  <si>
    <t xml:space="preserve">Lista de produse este sortata crescator in baza pretului </t>
  </si>
  <si>
    <t>Verificare Sortare dupa pret descrescator</t>
  </si>
  <si>
    <t>1. Acceseaza in browser link  https://www.saucedemo.com 
2.  Autentificare User: standard_user/Password: secret_sauce si select login
3.  In pagina produse selecteaza pictograma aferenta optiunii de sortare
4.  Selecteaza "sorteaza pret descrescator" din lista derulanta</t>
  </si>
  <si>
    <t>Lista de produse o sa fie sortata descrescator in baza pretului</t>
  </si>
  <si>
    <t>Lista de produse este sortata descrescator in baza pretului</t>
  </si>
  <si>
    <t>Verificare Adaugarea unui produs in cos</t>
  </si>
  <si>
    <t xml:space="preserve">1. Acceseaza in browser link  https://www.saucedemo.com  
2.  Autentificare User: standard_user/Password: secret_sauce si select login
3. In pagina produse selecteaza add to cart pentru produs
4. Verificare pictograma cos produse </t>
  </si>
  <si>
    <t>Produsul este adaugat in cosul de cumparaturi, optiunea add to cart se modifica in remove iar in cadrul pictogramei cos produs apare numarul 1 aferent produsului adaugat</t>
  </si>
  <si>
    <t>Adaugarea tuturor produselor in cos</t>
  </si>
  <si>
    <t xml:space="preserve">1. Acceseaza in browser link  https://www.saucedemo.com  
2.  Autentificare User: standard_user/Password: secret_sauce si select login
3. In pagina produse selecteaza add to cart pentru produsul 1
4. In pagina produse selecteaza add to cart pentru produsul 2
5. In pagina produse selecteaza add to cart pentru produsul 3
6. In pagina produse selecteaza add to cart pentru produsul 4
7. In pagina produse selecteaza add to cart pentru produsul 5
8. In pagina produse selecteaza add to cart pentru produsul 6
9. verificare pictograma cos produse </t>
  </si>
  <si>
    <t>In cadrul pictogramei cos numarul din dreptul acesteia creste cu fiecare produs adaugat in cos iar la finalul procesului numarul trebuie sa fie echivalent cu numarul de produse adaugate</t>
  </si>
  <si>
    <t>Stergerea produselor din cos din pagina principala</t>
  </si>
  <si>
    <t>1. Acceseaza in browser link  https://www.saucedemo.com  
2.  Autentificare User: standard_user/Password: secret_sauce si select login
 3. in pagina produse selecteaza add to cart pentru un produs
4. selecteaza optiunea remove</t>
  </si>
  <si>
    <t>In cadrul pictogramei cos numarul din dreptul acesteia creste cu 1 iar ulterior selectarii optiunii remove pictograma cos se intoarce la aspectul initial</t>
  </si>
  <si>
    <t>Verificare produse (poze, descriere, pret etc) conform cerintelor</t>
  </si>
  <si>
    <t>P2</t>
  </si>
  <si>
    <t>1. Acceseaza in browser link  https://www.saucedemo.com 
2.  Autentificare User: standard_user/Password: secret_sauce si select login
3. In pagina produse verifica informatiile aferente produselor, pozitionarea in pagina, descriere etc</t>
  </si>
  <si>
    <t>Informatile corespund cu cerintele</t>
  </si>
  <si>
    <t>Adaugare produse in cos&gt;&gt; logout&gt;&gt; relogin si verificare daca produsele din cos au fost pastrate</t>
  </si>
  <si>
    <t>1. Acceseaza in browser link  https://www.saucedemo.com 
2.  Autentificare User: standard_user/Password: secret_sauce si select login
3. In pagina produse selecteaza add to cart pentru un produs
4. verifica pictograma cos de cumparaturi
5.  selecteaza optiunea logout
6.  Autentificare User: error_user/Password: secret_sauce si select login
7.  Verifica cos cumparaturi</t>
  </si>
  <si>
    <t>In urma procesului de relogare produsele selectate anterior delogarii sunt inca prezente in cosul de cumparaturi</t>
  </si>
  <si>
    <t xml:space="preserve"> Verificare vizuala buton meniu (all items, about)</t>
  </si>
  <si>
    <t xml:space="preserve">1. Acceseaza in browser link  https://www.saucedemo.com  
2.  Autentificare User: standard_user/Password: secret_sauce si select login
3. In pagina produse verifica informatiile optiunii meniu </t>
  </si>
  <si>
    <t>Pagina produs individual</t>
  </si>
  <si>
    <t>Verificare produs conform cerintelor</t>
  </si>
  <si>
    <t xml:space="preserve">1. Acceseaza in browser link  https://www.saucedemo.com
2.  Autentificare User: standard_user/Password: secret_sauce si select login
3. In pagina produse click pe un produs
4. verifica informatiile aferente produsului </t>
  </si>
  <si>
    <t>Detaliile aferente produsului selectat corespund cu cele din cerinte</t>
  </si>
  <si>
    <t>Adaugare produs in cos+ eliminare produs din pagina principala(din produse)</t>
  </si>
  <si>
    <t>1. Acceseaza in browser link  https://www.saucedemo.com 
2.  Autentificare User: standard_user/Password: secret_sauce si select login
 3. In pagina produse selecteaza add to cart pentru un produs
4. Selecteaza optiunea remove</t>
  </si>
  <si>
    <t>produsul este eliminat din cos, cosul este gol`</t>
  </si>
  <si>
    <t>Adaugare produs din pagina produse principala (cu toate produsele) si eliminare din pagina produs individual</t>
  </si>
  <si>
    <t>1. Acceseaza in browser link  https://www.saucedemo.com 
2.  Autentificare User: standard_user/Password: secret_sauce si select login
3. In pagina produse selecteaza add to cart pentru un produs
4. Selecteaza produsul
5. selecteaza optiunea remove din pagina aferenta produsului</t>
  </si>
  <si>
    <t>produsul este eliminat din cos</t>
  </si>
  <si>
    <t>Verificare optiune back to product din pagina produs individual</t>
  </si>
  <si>
    <t>1. Acceseaza in browser link  https://www.saucedemo.com 
2.  Autentificare User: standard_user/Password: secret_sauce si select login
3. In pagina produse selecteaza add to cart pentru un produs
4. Selecteaza produsul
5. selecteaza optiunea back to products</t>
  </si>
  <si>
    <t xml:space="preserve"> redirectionare pagina produse</t>
  </si>
  <si>
    <t>Cos cumparaturi</t>
  </si>
  <si>
    <t>Adaugare 1 produs din pagina de produse, eliminare produsului din cosul de cumparaturi si readaugarea lui din single product page</t>
  </si>
  <si>
    <t xml:space="preserve">1. Acceseaza in browser link  https://www.saucedemo.com 
2.  Autentificare User: standard_user/Password: secret_sauce si select login
 3. In pagina produse selecteaza add to cart pentru un produs
4. Selecteaza cos de cumparaturi
5. Selecteaza remove
6. Reintoarcere la pagina de produse
7. Selecteaza click pe un produs
 8. Selecteaza add to cart din pagina aferenta produsului selectat la pasul anterior
</t>
  </si>
  <si>
    <t>produsul este adaugat &gt;&gt; eliminat&gt;&gt; readaugat in cosul de cumparaturi</t>
  </si>
  <si>
    <t>Verificare vizuala lista produse cos cumparaturi</t>
  </si>
  <si>
    <t xml:space="preserve">1. Acceseaza in browser link  https://www.saucedemo.com 
2.  Autentificare User: standard_user/Password: secret_sauce si select login
3. In pagina produse selecteaza add to cart pentru 1  produs
4. In pagina produse selecteaza add to cart pentru 1  produs
5. In pagina produse click pe un al 3 lea produs
6. Selecteaza add to card din pagina de produs individual 
7.  Selecteaza cos de cumparaturi
8.  Verifica informatiile
</t>
  </si>
  <si>
    <t>Cos cumparaturi: Adaugare mai multe produse in cos si eliminarea unuia dintre ele din cosul de cumparaturi</t>
  </si>
  <si>
    <t xml:space="preserve">1. Acceseaza in browser link  https://www.saucedemo.com 
2.  Autentificare User: standard_user/Password: secret_sauce si select login
3. In pagina produse selecteaza add to cart pentru mai mult de 2 produse
4. selecteaza cos de cumparaturi
5.  selecteaza remove pentru 1 din produsele listate
</t>
  </si>
  <si>
    <t>Cosul de produse se ajusteaza ca si numar de produse in urma modificarilor</t>
  </si>
  <si>
    <t xml:space="preserve"> Cos cumparaturi:Verificare buton continue shopping</t>
  </si>
  <si>
    <t>1. Acceseaza in browser link  https://www.saucedemo.com 
2.  Autentificare User: standard_user/Password: secret_sauce si select login
3. In pagina produse selecteaza add to cart pentru mai mult de 2 produse 
4. Selecteaza cos de cumparaturi
5. Selecteaza continue shopping</t>
  </si>
  <si>
    <t>Checkout:</t>
  </si>
  <si>
    <t>Camp gol First Name</t>
  </si>
  <si>
    <t>1. Acceseaza in browser link  https://www.saucedemo.com 
2.  Autentificare User: standard_user/Password: secret_sauce si select login
3. In pagina produse selecteaza add to cart pentru mai mult de 2 produse
4. Selecteaza cos de cumparaturi
5. Selecteaza checkout
6. Completeaza last name 
7. Completeaza zip code 
 8. Selecteaza continue</t>
  </si>
  <si>
    <t>Last name: null
First name: test
Zip/Postal code:test</t>
  </si>
  <si>
    <t>Mesaj Eroare:  Error: [Last Name] is required</t>
  </si>
  <si>
    <t xml:space="preserve"> Camp gol Last Name</t>
  </si>
  <si>
    <t>1. Acceseaza in browser link  https://www.saucedemo.com 
2.  Autentificare User: standard_user/Password: secret_sauce si select login
3. in pagina produse selecteaza add to cart pentru mai mult de 2 produse 
4. Selecteaza cos de cumparaturi
5. Selecteaza checkout
6. Completeaza first name 
7. Completeaza  zip code 
 8. Selecteaza continue</t>
  </si>
  <si>
    <t>Last name: test
First name: null
Zip/Postal code: test</t>
  </si>
  <si>
    <t>Mesaj Eroare:  Error: [First Name] is required</t>
  </si>
  <si>
    <t>Camp gol Zip/Postal code</t>
  </si>
  <si>
    <t>1. Acceseaza in browser link  https://www.saucedemo.com 
2.  Autentificare User: standard_user/Password: secret_sauce si select login
3. in pagina produse selecteaza add to cart pentru mai mult de 2 produse 
4. Selecteaza cos de cumparaturi
5. Selecteaza checkout
6. Completeaza first name 
7. Completeaza  last name
 8. Selecteaza continue</t>
  </si>
  <si>
    <t>Last name: test
First name: test 
Zip/Postal code: null</t>
  </si>
  <si>
    <t>Mesaj Eroare:  Error: [Zip/PostalCode] is required</t>
  </si>
  <si>
    <t>Toate campurile valide</t>
  </si>
  <si>
    <t>1. Acceseaza in browser link  https://www.saucedemo.com 
2.  Autentificare User: standard_user/Password: secret_sauce si select login
3. in pagina produse selecteaza add to cart pentru mai mult de 2 produse 
4. Selecteaza cos de cumparaturi
5. Selecteaza continue shopping
6. Completeaza first name 
7. Completeaza  last name
8. Completeaza zipcode
9. Selecteaza continue</t>
  </si>
  <si>
    <t>Last name: test
First name: test
Zip/Postal code: test</t>
  </si>
  <si>
    <t>Verificare buton cancel =&gt; redirectionare cos cumparaturi</t>
  </si>
  <si>
    <t>1. Acceseaza in browser link  https://www.saucedemo.com 
2.  Autentificare User: standard_user/Password: secret_sauce si select login
3. In pagina produse selecteaza add to cart pentru mai mult de 2 produse
4. Selecteaza cos de cumparaturi
5. Selecteaza checkout
6.  Selecteaza cancel din pagina "Checkout: Your Information"</t>
  </si>
  <si>
    <t>redirectionare cos cumparaturi</t>
  </si>
  <si>
    <t>Overview</t>
  </si>
  <si>
    <t>Verificare vizuala (produsele comandate sunt afisate corect)</t>
  </si>
  <si>
    <t>1. Acceseaza in browser link  https://www.saucedemo.com 
2.  Autentificare User: standard_user/Password: secret_sauce si select login
3. In pagina produse selecteaza add to cart pentru mai mult de 2 produse
4. Selecteaza cos de cumparaturi
5. Verifica informatiile</t>
  </si>
  <si>
    <t>Verificare buton cancel =&gt; redirectionare pagina principala</t>
  </si>
  <si>
    <t>1. Acceseaza in browser link  https://www.saucedemo.com 
2.  Autentificare User: standard_user/Password: secret_sauce si select login
3. In pagina produse selecteaza add to cart pentru mai mult de 2 produse
4.  Selecteaza cos de cumparaturi
5.  Selecteaza Continue Shopping</t>
  </si>
  <si>
    <t>1. Acceseaza in browser link  https://www.saucedemo.com 
2.  Autentificare User: standard_user/Password: secret_sauce si select login
3. In pagina produse selecteaza add to cart pentru mai mult de 2 produse
4. Selecteaza cos de cumparaturi
5. Selecteaza checkout
6. Completeaza first name 
7. Completeaza  last name
8. Completeaza zipcode
9. Selecteaza Continue
9.  Selecteaza cancel din  Checkout overview</t>
  </si>
  <si>
    <t>Finish.</t>
  </si>
  <si>
    <t>Verificare vizuala</t>
  </si>
  <si>
    <t>1. Acceseaza in browser link  https://www.saucedemo.com 
2.  Autentificare User: standard_user/Password: secret_sauce si select login
3. In pagina produse selecteaza add to cart pentru mai mult de 2 produse 
4. Selecteaza cos de cumparaturi
5. Selecteaza continue shopping
6. Completeaza first name 
7. Completeaza  last name
8. Completeaza zipcode  
9. Finish</t>
  </si>
  <si>
    <t>Verificare buton finish</t>
  </si>
  <si>
    <t>1. Acceseaza in browser link  https://www.saucedemo.com 
2.  Autentificare User: standard_user/Password: secret_sauce si select login
3. In pagina produse selecteaza add to cart pentru mai mult de 2 produse 
4. Selecteaza cos de cumparaturi
5. Selecteaza continue shopping
6. Completeaza first name 
7. Completeaza  last name
8. Completeaza zipcode  
9.  Finish</t>
  </si>
  <si>
    <t>Redirectionare catre pagina de final cu mesajul Thank you for your order!</t>
  </si>
  <si>
    <t>Verificare buton finish cu cos gol de cumparaturi</t>
  </si>
  <si>
    <t>1. Acceseaza in browser link  https://www.saucedemo.com 
2.  Autentificare User: standard_user/Password: secret_sauce si select login
3. Selecteaza cos de cumparaturi
4. Selecteaza continue shopping
5. Completeaza first name 
6. Completeaza  last name
7. Completeaza zipcode  
8.  Finish</t>
  </si>
  <si>
    <t>Mesaj de eroare “cos de cumparaturi gol” -  Comanda nu poate fi finalizata in lipsa unor produse adaugate in cos</t>
  </si>
  <si>
    <t>Comadana este procesata si utilizatorul este redirectionat catre pagina de final cu mesajul Thank you for your order!</t>
  </si>
  <si>
    <t>FAIL</t>
  </si>
  <si>
    <t>04</t>
  </si>
  <si>
    <t>Logout</t>
  </si>
  <si>
    <t>Verificare optiune Logout</t>
  </si>
  <si>
    <t>1. Acceseaza in browser link  https://www.saucedemo.com 
2. Completeaza standard_user in camp username
3. Completeaza secret_sauce in camp password 
4. Selecteaza login 
5. Selecteaza logout</t>
  </si>
  <si>
    <t>1. User: error_user
2. Password: secret_sauce</t>
  </si>
  <si>
    <t>intoarcere la Interfata Login</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</si>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</sst>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8.0"/>
      <color theme="1"/>
      <name val="Times New Roman"/>
    </font>
    <font>
      <color theme="1"/>
      <name val="Arial"/>
    </font>
    <font>
      <sz val="8.0"/>
      <color theme="1"/>
      <name val="Times New Roman"/>
    </font>
    <font/>
    <font>
      <sz val="8.0"/>
      <color rgb="FF000000"/>
      <name val="Times New Roman"/>
    </font>
    <font>
      <sz val="14.0"/>
      <color theme="1"/>
      <name val="Arial"/>
    </font>
    <font>
      <b/>
      <sz val="14.0"/>
      <color theme="1"/>
      <name val="Arial"/>
    </font>
    <font>
      <b/>
      <sz val="14.0"/>
      <color rgb="FF1155CC"/>
      <name val="Inconsolata"/>
    </font>
  </fonts>
  <fills count="6">
    <fill>
      <patternFill patternType="none"/>
    </fill>
    <fill>
      <patternFill patternType="lightGray"/>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CC0000"/>
        <bgColor rgb="FFCC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0" fillId="2" fontId="1" numFmtId="0" xfId="0" applyAlignment="1" applyFont="1">
      <alignment horizontal="center" shrinkToFit="0" vertical="bottom" wrapText="1"/>
    </xf>
    <xf borderId="0" fillId="0" fontId="2" numFmtId="0" xfId="0" applyAlignment="1" applyFont="1">
      <alignment vertical="bottom"/>
    </xf>
    <xf borderId="2" fillId="0" fontId="3" numFmtId="0" xfId="0" applyAlignment="1" applyBorder="1" applyFont="1">
      <alignment horizontal="center" shrinkToFit="0" vertical="bottom" wrapText="1"/>
    </xf>
    <xf borderId="1" fillId="0" fontId="3" numFmtId="0" xfId="0" applyAlignment="1" applyBorder="1" applyFont="1">
      <alignment vertical="bottom"/>
    </xf>
    <xf borderId="1" fillId="0" fontId="3" numFmtId="0" xfId="0" applyAlignment="1" applyBorder="1" applyFont="1">
      <alignment shrinkToFit="0" vertical="bottom" wrapText="1"/>
    </xf>
    <xf borderId="1" fillId="0" fontId="3" numFmtId="0" xfId="0" applyAlignment="1" applyBorder="1" applyFont="1">
      <alignment horizontal="center" vertical="bottom"/>
    </xf>
    <xf borderId="1" fillId="0" fontId="3" numFmtId="0" xfId="0" applyAlignment="1" applyBorder="1" applyFont="1">
      <alignment readingOrder="0" vertical="bottom"/>
    </xf>
    <xf borderId="1" fillId="0" fontId="3" numFmtId="0" xfId="0" applyAlignment="1" applyBorder="1" applyFont="1">
      <alignment horizontal="center" readingOrder="0" vertical="bottom"/>
    </xf>
    <xf borderId="1" fillId="0" fontId="2" numFmtId="0" xfId="0" applyAlignment="1" applyBorder="1" applyFont="1">
      <alignment vertical="bottom"/>
    </xf>
    <xf borderId="3" fillId="0" fontId="4" numFmtId="0" xfId="0" applyBorder="1" applyFont="1"/>
    <xf borderId="4" fillId="0" fontId="4" numFmtId="0" xfId="0" applyBorder="1" applyFont="1"/>
    <xf borderId="1" fillId="0" fontId="3" numFmtId="0" xfId="0" applyAlignment="1" applyBorder="1" applyFont="1">
      <alignmen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5" numFmtId="0" xfId="0" applyAlignment="1" applyFont="1">
      <alignment readingOrder="0" shrinkToFit="0" wrapText="1"/>
    </xf>
    <xf quotePrefix="1" borderId="1" fillId="0" fontId="2" numFmtId="0" xfId="0" applyAlignment="1" applyBorder="1" applyFont="1">
      <alignment readingOrder="0" vertical="bottom"/>
    </xf>
    <xf borderId="1" fillId="0" fontId="3" numFmtId="0" xfId="0" applyAlignment="1" applyBorder="1" applyFont="1">
      <alignment horizontal="center" shrinkToFit="0" vertical="bottom" wrapText="1"/>
    </xf>
    <xf borderId="1" fillId="3" fontId="6" numFmtId="0" xfId="0" applyAlignment="1" applyBorder="1" applyFill="1" applyFont="1">
      <alignment horizontal="center" vertical="bottom"/>
    </xf>
    <xf borderId="1" fillId="2" fontId="2" numFmtId="0" xfId="0" applyAlignment="1" applyBorder="1" applyFont="1">
      <alignment vertical="bottom"/>
    </xf>
    <xf borderId="1" fillId="0" fontId="7" numFmtId="0" xfId="0" applyAlignment="1" applyBorder="1" applyFont="1">
      <alignment horizontal="center" vertical="bottom"/>
    </xf>
    <xf borderId="1" fillId="4" fontId="8" numFmtId="0" xfId="0" applyAlignment="1" applyBorder="1" applyFill="1" applyFont="1">
      <alignment horizontal="center" vertical="bottom"/>
    </xf>
    <xf borderId="1" fillId="5" fontId="7" numFmtId="0" xfId="0" applyAlignment="1" applyBorder="1" applyFill="1" applyFont="1">
      <alignment horizontal="center" vertical="bottom"/>
    </xf>
    <xf borderId="3" fillId="0" fontId="2" numFmtId="0" xfId="0" applyAlignment="1" applyBorder="1" applyFont="1">
      <alignment vertical="bottom"/>
    </xf>
    <xf borderId="4"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2.63"/>
  </cols>
  <sheetData>
    <row r="1">
      <c r="A1" s="1" t="s">
        <v>0</v>
      </c>
      <c r="B1" s="1" t="s">
        <v>1</v>
      </c>
      <c r="C1" s="1" t="s">
        <v>2</v>
      </c>
      <c r="D1" s="2" t="s">
        <v>3</v>
      </c>
      <c r="E1" s="2" t="s">
        <v>4</v>
      </c>
      <c r="F1" s="1" t="s">
        <v>5</v>
      </c>
      <c r="G1" s="1" t="s">
        <v>6</v>
      </c>
      <c r="H1" s="1" t="s">
        <v>7</v>
      </c>
      <c r="I1" s="1" t="s">
        <v>8</v>
      </c>
      <c r="J1" s="1" t="s">
        <v>9</v>
      </c>
      <c r="K1" s="1" t="s">
        <v>10</v>
      </c>
      <c r="L1" s="3"/>
      <c r="M1" s="3"/>
      <c r="N1" s="3"/>
      <c r="O1" s="3"/>
      <c r="P1" s="3"/>
      <c r="Q1" s="3"/>
      <c r="R1" s="3"/>
      <c r="S1" s="3"/>
      <c r="T1" s="3"/>
      <c r="U1" s="3"/>
      <c r="V1" s="3"/>
      <c r="W1" s="3"/>
      <c r="X1" s="3"/>
      <c r="Y1" s="3"/>
      <c r="Z1" s="3"/>
      <c r="AA1" s="3"/>
    </row>
    <row r="2">
      <c r="A2" s="4" t="s">
        <v>11</v>
      </c>
      <c r="B2" s="5">
        <v>1.0</v>
      </c>
      <c r="C2" s="6" t="s">
        <v>12</v>
      </c>
      <c r="D2" s="7" t="s">
        <v>13</v>
      </c>
      <c r="E2" s="7" t="s">
        <v>14</v>
      </c>
      <c r="F2" s="8" t="s">
        <v>15</v>
      </c>
      <c r="G2" s="8" t="s">
        <v>16</v>
      </c>
      <c r="H2" s="6" t="s">
        <v>17</v>
      </c>
      <c r="I2" s="6" t="s">
        <v>17</v>
      </c>
      <c r="J2" s="9" t="s">
        <v>18</v>
      </c>
      <c r="K2" s="10"/>
      <c r="L2" s="3"/>
      <c r="M2" s="3"/>
      <c r="N2" s="3"/>
      <c r="O2" s="3"/>
      <c r="P2" s="3"/>
      <c r="Q2" s="3"/>
      <c r="R2" s="3"/>
      <c r="S2" s="3"/>
      <c r="T2" s="3"/>
      <c r="U2" s="3"/>
      <c r="V2" s="3"/>
      <c r="W2" s="3"/>
      <c r="X2" s="3"/>
      <c r="Y2" s="3"/>
      <c r="Z2" s="3"/>
      <c r="AA2" s="3"/>
    </row>
    <row r="3">
      <c r="A3" s="11"/>
      <c r="B3" s="5">
        <v>2.0</v>
      </c>
      <c r="C3" s="6" t="s">
        <v>19</v>
      </c>
      <c r="D3" s="7" t="s">
        <v>13</v>
      </c>
      <c r="E3" s="7" t="s">
        <v>14</v>
      </c>
      <c r="F3" s="8" t="s">
        <v>20</v>
      </c>
      <c r="G3" s="8" t="s">
        <v>21</v>
      </c>
      <c r="H3" s="6" t="s">
        <v>22</v>
      </c>
      <c r="I3" s="6" t="s">
        <v>22</v>
      </c>
      <c r="J3" s="9" t="s">
        <v>18</v>
      </c>
      <c r="K3" s="10"/>
      <c r="L3" s="3"/>
      <c r="M3" s="3"/>
      <c r="N3" s="3"/>
      <c r="O3" s="3"/>
      <c r="P3" s="3"/>
      <c r="Q3" s="3"/>
      <c r="R3" s="3"/>
      <c r="S3" s="3"/>
      <c r="T3" s="3"/>
      <c r="U3" s="3"/>
      <c r="V3" s="3"/>
      <c r="W3" s="3"/>
      <c r="X3" s="3"/>
      <c r="Y3" s="3"/>
      <c r="Z3" s="3"/>
      <c r="AA3" s="3"/>
    </row>
    <row r="4">
      <c r="A4" s="11"/>
      <c r="B4" s="5">
        <v>3.0</v>
      </c>
      <c r="C4" s="6" t="s">
        <v>23</v>
      </c>
      <c r="D4" s="7" t="s">
        <v>13</v>
      </c>
      <c r="E4" s="7" t="s">
        <v>14</v>
      </c>
      <c r="F4" s="8" t="s">
        <v>24</v>
      </c>
      <c r="G4" s="5" t="s">
        <v>25</v>
      </c>
      <c r="H4" s="6" t="s">
        <v>22</v>
      </c>
      <c r="I4" s="6" t="s">
        <v>22</v>
      </c>
      <c r="J4" s="9" t="s">
        <v>18</v>
      </c>
      <c r="K4" s="10"/>
      <c r="L4" s="3"/>
      <c r="M4" s="3"/>
      <c r="N4" s="3"/>
      <c r="O4" s="3"/>
      <c r="P4" s="3"/>
      <c r="Q4" s="3"/>
      <c r="R4" s="3"/>
      <c r="S4" s="3"/>
      <c r="T4" s="3"/>
      <c r="U4" s="3"/>
      <c r="V4" s="3"/>
      <c r="W4" s="3"/>
      <c r="X4" s="3"/>
      <c r="Y4" s="3"/>
      <c r="Z4" s="3"/>
      <c r="AA4" s="3"/>
    </row>
    <row r="5">
      <c r="A5" s="11"/>
      <c r="B5" s="5">
        <v>4.0</v>
      </c>
      <c r="C5" s="6" t="s">
        <v>26</v>
      </c>
      <c r="D5" s="7" t="s">
        <v>13</v>
      </c>
      <c r="E5" s="7" t="s">
        <v>14</v>
      </c>
      <c r="F5" s="8" t="s">
        <v>27</v>
      </c>
      <c r="G5" s="5" t="s">
        <v>28</v>
      </c>
      <c r="H5" s="6" t="s">
        <v>22</v>
      </c>
      <c r="I5" s="6" t="s">
        <v>22</v>
      </c>
      <c r="J5" s="9" t="s">
        <v>18</v>
      </c>
      <c r="K5" s="10"/>
      <c r="L5" s="3"/>
      <c r="M5" s="3"/>
      <c r="N5" s="3"/>
      <c r="O5" s="3"/>
      <c r="P5" s="3"/>
      <c r="Q5" s="3"/>
      <c r="R5" s="3"/>
      <c r="S5" s="3"/>
      <c r="T5" s="3"/>
      <c r="U5" s="3"/>
      <c r="V5" s="3"/>
      <c r="W5" s="3"/>
      <c r="X5" s="3"/>
      <c r="Y5" s="3"/>
      <c r="Z5" s="3"/>
      <c r="AA5" s="3"/>
    </row>
    <row r="6">
      <c r="A6" s="12"/>
      <c r="B6" s="5">
        <v>5.0</v>
      </c>
      <c r="C6" s="6" t="s">
        <v>29</v>
      </c>
      <c r="D6" s="7" t="s">
        <v>13</v>
      </c>
      <c r="E6" s="7" t="s">
        <v>14</v>
      </c>
      <c r="F6" s="5" t="s">
        <v>30</v>
      </c>
      <c r="G6" s="8" t="s">
        <v>16</v>
      </c>
      <c r="H6" s="6" t="s">
        <v>31</v>
      </c>
      <c r="I6" s="13" t="s">
        <v>32</v>
      </c>
      <c r="J6" s="9" t="s">
        <v>18</v>
      </c>
      <c r="K6" s="10"/>
      <c r="L6" s="3"/>
      <c r="M6" s="3"/>
      <c r="N6" s="3"/>
      <c r="O6" s="3"/>
      <c r="P6" s="3"/>
      <c r="Q6" s="3"/>
      <c r="R6" s="3"/>
      <c r="S6" s="3"/>
      <c r="T6" s="3"/>
      <c r="U6" s="3"/>
      <c r="V6" s="3"/>
      <c r="W6" s="3"/>
      <c r="X6" s="3"/>
      <c r="Y6" s="3"/>
      <c r="Z6" s="3"/>
      <c r="AA6" s="3"/>
    </row>
    <row r="7">
      <c r="A7" s="4" t="s">
        <v>33</v>
      </c>
      <c r="B7" s="5">
        <v>6.0</v>
      </c>
      <c r="C7" s="6" t="s">
        <v>34</v>
      </c>
      <c r="D7" s="7" t="s">
        <v>35</v>
      </c>
      <c r="E7" s="7" t="s">
        <v>14</v>
      </c>
      <c r="F7" s="8" t="s">
        <v>36</v>
      </c>
      <c r="G7" s="10"/>
      <c r="H7" s="6" t="s">
        <v>37</v>
      </c>
      <c r="I7" s="13" t="s">
        <v>38</v>
      </c>
      <c r="J7" s="9" t="s">
        <v>18</v>
      </c>
      <c r="K7" s="10"/>
      <c r="L7" s="3"/>
      <c r="M7" s="3"/>
      <c r="N7" s="3"/>
      <c r="O7" s="3"/>
      <c r="P7" s="3"/>
      <c r="Q7" s="3"/>
      <c r="R7" s="3"/>
      <c r="S7" s="3"/>
      <c r="T7" s="3"/>
      <c r="U7" s="3"/>
      <c r="V7" s="3"/>
      <c r="W7" s="3"/>
      <c r="X7" s="3"/>
      <c r="Y7" s="3"/>
      <c r="Z7" s="3"/>
      <c r="AA7" s="3"/>
    </row>
    <row r="8">
      <c r="A8" s="11"/>
      <c r="B8" s="5">
        <v>7.0</v>
      </c>
      <c r="C8" s="6" t="s">
        <v>39</v>
      </c>
      <c r="D8" s="7" t="s">
        <v>35</v>
      </c>
      <c r="E8" s="7" t="s">
        <v>14</v>
      </c>
      <c r="F8" s="8" t="s">
        <v>40</v>
      </c>
      <c r="G8" s="10"/>
      <c r="H8" s="6" t="s">
        <v>41</v>
      </c>
      <c r="I8" s="13" t="s">
        <v>42</v>
      </c>
      <c r="J8" s="9" t="s">
        <v>18</v>
      </c>
      <c r="K8" s="10"/>
      <c r="L8" s="3"/>
      <c r="M8" s="3"/>
      <c r="N8" s="3"/>
      <c r="O8" s="3"/>
      <c r="P8" s="3"/>
      <c r="Q8" s="3"/>
      <c r="R8" s="3"/>
      <c r="S8" s="3"/>
      <c r="T8" s="3"/>
      <c r="U8" s="3"/>
      <c r="V8" s="3"/>
      <c r="W8" s="3"/>
      <c r="X8" s="3"/>
      <c r="Y8" s="3"/>
      <c r="Z8" s="3"/>
      <c r="AA8" s="3"/>
    </row>
    <row r="9">
      <c r="A9" s="11"/>
      <c r="B9" s="5">
        <v>8.0</v>
      </c>
      <c r="C9" s="6" t="s">
        <v>43</v>
      </c>
      <c r="D9" s="7" t="s">
        <v>35</v>
      </c>
      <c r="E9" s="7" t="s">
        <v>14</v>
      </c>
      <c r="F9" s="8" t="s">
        <v>44</v>
      </c>
      <c r="G9" s="10"/>
      <c r="H9" s="6" t="s">
        <v>45</v>
      </c>
      <c r="I9" s="13" t="s">
        <v>46</v>
      </c>
      <c r="J9" s="9" t="s">
        <v>18</v>
      </c>
      <c r="K9" s="10"/>
      <c r="L9" s="3"/>
      <c r="M9" s="3"/>
      <c r="N9" s="3"/>
      <c r="O9" s="3"/>
      <c r="P9" s="3"/>
      <c r="Q9" s="3"/>
      <c r="R9" s="3"/>
      <c r="S9" s="3"/>
      <c r="T9" s="3"/>
      <c r="U9" s="3"/>
      <c r="V9" s="3"/>
      <c r="W9" s="3"/>
      <c r="X9" s="3"/>
      <c r="Y9" s="3"/>
      <c r="Z9" s="3"/>
      <c r="AA9" s="3"/>
    </row>
    <row r="10">
      <c r="A10" s="11"/>
      <c r="B10" s="5">
        <v>9.0</v>
      </c>
      <c r="C10" s="6" t="s">
        <v>47</v>
      </c>
      <c r="D10" s="7" t="s">
        <v>35</v>
      </c>
      <c r="E10" s="7" t="s">
        <v>14</v>
      </c>
      <c r="F10" s="8" t="s">
        <v>48</v>
      </c>
      <c r="G10" s="10"/>
      <c r="H10" s="6" t="s">
        <v>49</v>
      </c>
      <c r="I10" s="13" t="s">
        <v>50</v>
      </c>
      <c r="J10" s="9" t="s">
        <v>18</v>
      </c>
      <c r="K10" s="10"/>
      <c r="L10" s="3"/>
      <c r="M10" s="3"/>
      <c r="N10" s="3"/>
      <c r="O10" s="3"/>
      <c r="P10" s="3"/>
      <c r="Q10" s="3"/>
      <c r="R10" s="3"/>
      <c r="S10" s="3"/>
      <c r="T10" s="3"/>
      <c r="U10" s="3"/>
      <c r="V10" s="3"/>
      <c r="W10" s="3"/>
      <c r="X10" s="3"/>
      <c r="Y10" s="3"/>
      <c r="Z10" s="3"/>
      <c r="AA10" s="3"/>
    </row>
    <row r="11" ht="63.0" customHeight="1">
      <c r="A11" s="11"/>
      <c r="B11" s="5">
        <v>10.0</v>
      </c>
      <c r="C11" s="6" t="s">
        <v>51</v>
      </c>
      <c r="D11" s="7" t="s">
        <v>13</v>
      </c>
      <c r="E11" s="7" t="s">
        <v>14</v>
      </c>
      <c r="F11" s="8" t="s">
        <v>52</v>
      </c>
      <c r="G11" s="10"/>
      <c r="H11" s="6" t="s">
        <v>53</v>
      </c>
      <c r="I11" s="6" t="s">
        <v>53</v>
      </c>
      <c r="J11" s="9" t="s">
        <v>18</v>
      </c>
      <c r="K11" s="10"/>
      <c r="L11" s="3"/>
      <c r="M11" s="3"/>
      <c r="N11" s="3"/>
      <c r="O11" s="3"/>
      <c r="P11" s="3"/>
      <c r="Q11" s="3"/>
      <c r="R11" s="3"/>
      <c r="S11" s="3"/>
      <c r="T11" s="3"/>
      <c r="U11" s="3"/>
      <c r="V11" s="3"/>
      <c r="W11" s="3"/>
      <c r="X11" s="3"/>
      <c r="Y11" s="3"/>
      <c r="Z11" s="3"/>
      <c r="AA11" s="3"/>
    </row>
    <row r="12">
      <c r="A12" s="11"/>
      <c r="B12" s="5">
        <v>11.0</v>
      </c>
      <c r="C12" s="6" t="s">
        <v>54</v>
      </c>
      <c r="D12" s="7" t="s">
        <v>13</v>
      </c>
      <c r="E12" s="7" t="s">
        <v>14</v>
      </c>
      <c r="F12" s="8" t="s">
        <v>55</v>
      </c>
      <c r="G12" s="10"/>
      <c r="H12" s="6" t="s">
        <v>56</v>
      </c>
      <c r="I12" s="6" t="s">
        <v>56</v>
      </c>
      <c r="J12" s="9" t="s">
        <v>18</v>
      </c>
      <c r="K12" s="10"/>
      <c r="L12" s="3"/>
      <c r="M12" s="3"/>
      <c r="N12" s="3"/>
      <c r="O12" s="3"/>
      <c r="P12" s="3"/>
      <c r="Q12" s="3"/>
      <c r="R12" s="3"/>
      <c r="S12" s="3"/>
      <c r="T12" s="3"/>
      <c r="U12" s="3"/>
      <c r="V12" s="3"/>
      <c r="W12" s="3"/>
      <c r="X12" s="3"/>
      <c r="Y12" s="3"/>
      <c r="Z12" s="3"/>
      <c r="AA12" s="3"/>
    </row>
    <row r="13">
      <c r="A13" s="11"/>
      <c r="B13" s="5">
        <v>12.0</v>
      </c>
      <c r="C13" s="6" t="s">
        <v>57</v>
      </c>
      <c r="D13" s="7" t="s">
        <v>13</v>
      </c>
      <c r="E13" s="7" t="s">
        <v>14</v>
      </c>
      <c r="F13" s="8" t="s">
        <v>58</v>
      </c>
      <c r="G13" s="10"/>
      <c r="H13" s="6" t="s">
        <v>59</v>
      </c>
      <c r="I13" s="6" t="s">
        <v>59</v>
      </c>
      <c r="J13" s="9" t="s">
        <v>18</v>
      </c>
      <c r="K13" s="10"/>
      <c r="L13" s="3"/>
      <c r="M13" s="3"/>
      <c r="N13" s="3"/>
      <c r="O13" s="3"/>
      <c r="P13" s="3"/>
      <c r="Q13" s="3"/>
      <c r="R13" s="3"/>
      <c r="S13" s="3"/>
      <c r="T13" s="3"/>
      <c r="U13" s="3"/>
      <c r="V13" s="3"/>
      <c r="W13" s="3"/>
      <c r="X13" s="3"/>
      <c r="Y13" s="3"/>
      <c r="Z13" s="3"/>
      <c r="AA13" s="3"/>
    </row>
    <row r="14">
      <c r="A14" s="11"/>
      <c r="B14" s="5">
        <v>13.0</v>
      </c>
      <c r="C14" s="6" t="s">
        <v>60</v>
      </c>
      <c r="D14" s="7" t="s">
        <v>61</v>
      </c>
      <c r="E14" s="7" t="s">
        <v>14</v>
      </c>
      <c r="F14" s="8" t="s">
        <v>62</v>
      </c>
      <c r="G14" s="10"/>
      <c r="H14" s="6" t="s">
        <v>63</v>
      </c>
      <c r="I14" s="6" t="s">
        <v>63</v>
      </c>
      <c r="J14" s="9" t="s">
        <v>18</v>
      </c>
      <c r="K14" s="10"/>
      <c r="L14" s="3"/>
      <c r="M14" s="3"/>
      <c r="N14" s="3"/>
      <c r="O14" s="3"/>
      <c r="P14" s="3"/>
      <c r="Q14" s="3"/>
      <c r="R14" s="3"/>
      <c r="S14" s="3"/>
      <c r="T14" s="3"/>
      <c r="U14" s="3"/>
      <c r="V14" s="3"/>
      <c r="W14" s="3"/>
      <c r="X14" s="3"/>
      <c r="Y14" s="3"/>
      <c r="Z14" s="3"/>
      <c r="AA14" s="3"/>
    </row>
    <row r="15">
      <c r="A15" s="11"/>
      <c r="B15" s="5">
        <v>14.0</v>
      </c>
      <c r="C15" s="6" t="s">
        <v>64</v>
      </c>
      <c r="D15" s="7" t="s">
        <v>61</v>
      </c>
      <c r="E15" s="7" t="s">
        <v>14</v>
      </c>
      <c r="F15" s="8" t="s">
        <v>65</v>
      </c>
      <c r="G15" s="10"/>
      <c r="H15" s="6" t="s">
        <v>66</v>
      </c>
      <c r="I15" s="6" t="s">
        <v>66</v>
      </c>
      <c r="J15" s="9" t="s">
        <v>18</v>
      </c>
      <c r="K15" s="10"/>
      <c r="L15" s="3"/>
      <c r="M15" s="3"/>
      <c r="N15" s="3"/>
      <c r="O15" s="3"/>
      <c r="P15" s="3"/>
      <c r="Q15" s="3"/>
      <c r="R15" s="3"/>
      <c r="S15" s="3"/>
      <c r="T15" s="3"/>
      <c r="U15" s="3"/>
      <c r="V15" s="3"/>
      <c r="W15" s="3"/>
      <c r="X15" s="3"/>
      <c r="Y15" s="3"/>
      <c r="Z15" s="3"/>
      <c r="AA15" s="3"/>
    </row>
    <row r="16">
      <c r="A16" s="12"/>
      <c r="B16" s="5">
        <v>15.0</v>
      </c>
      <c r="C16" s="6" t="s">
        <v>67</v>
      </c>
      <c r="D16" s="7" t="s">
        <v>61</v>
      </c>
      <c r="E16" s="7" t="s">
        <v>14</v>
      </c>
      <c r="F16" s="8" t="s">
        <v>68</v>
      </c>
      <c r="G16" s="10"/>
      <c r="H16" s="6" t="s">
        <v>63</v>
      </c>
      <c r="I16" s="6" t="s">
        <v>63</v>
      </c>
      <c r="J16" s="9" t="s">
        <v>18</v>
      </c>
      <c r="K16" s="10"/>
      <c r="L16" s="3"/>
      <c r="M16" s="3"/>
      <c r="N16" s="3"/>
      <c r="O16" s="3"/>
      <c r="P16" s="3"/>
      <c r="Q16" s="3"/>
      <c r="R16" s="3"/>
      <c r="S16" s="3"/>
      <c r="T16" s="3"/>
      <c r="U16" s="3"/>
      <c r="V16" s="3"/>
      <c r="W16" s="3"/>
      <c r="X16" s="3"/>
      <c r="Y16" s="3"/>
      <c r="Z16" s="3"/>
      <c r="AA16" s="3"/>
    </row>
    <row r="17">
      <c r="A17" s="4" t="s">
        <v>69</v>
      </c>
      <c r="B17" s="5">
        <v>16.0</v>
      </c>
      <c r="C17" s="6" t="s">
        <v>70</v>
      </c>
      <c r="D17" s="7" t="s">
        <v>61</v>
      </c>
      <c r="E17" s="7" t="s">
        <v>14</v>
      </c>
      <c r="F17" s="8" t="s">
        <v>71</v>
      </c>
      <c r="G17" s="10"/>
      <c r="H17" s="14" t="s">
        <v>72</v>
      </c>
      <c r="I17" s="15" t="s">
        <v>72</v>
      </c>
      <c r="J17" s="9" t="s">
        <v>18</v>
      </c>
      <c r="K17" s="10"/>
      <c r="L17" s="3"/>
      <c r="M17" s="3"/>
      <c r="N17" s="3"/>
      <c r="O17" s="3"/>
      <c r="P17" s="3"/>
      <c r="Q17" s="3"/>
      <c r="R17" s="3"/>
      <c r="S17" s="3"/>
      <c r="T17" s="3"/>
      <c r="U17" s="3"/>
      <c r="V17" s="3"/>
      <c r="W17" s="3"/>
      <c r="X17" s="3"/>
      <c r="Y17" s="3"/>
      <c r="Z17" s="3"/>
      <c r="AA17" s="3"/>
    </row>
    <row r="18">
      <c r="A18" s="11"/>
      <c r="B18" s="5">
        <v>17.0</v>
      </c>
      <c r="C18" s="6" t="s">
        <v>73</v>
      </c>
      <c r="D18" s="7" t="s">
        <v>61</v>
      </c>
      <c r="E18" s="7" t="s">
        <v>14</v>
      </c>
      <c r="F18" s="8" t="s">
        <v>74</v>
      </c>
      <c r="G18" s="10"/>
      <c r="H18" s="6" t="s">
        <v>75</v>
      </c>
      <c r="I18" s="6" t="s">
        <v>75</v>
      </c>
      <c r="J18" s="9" t="s">
        <v>18</v>
      </c>
      <c r="K18" s="10"/>
      <c r="L18" s="3"/>
      <c r="M18" s="3"/>
      <c r="N18" s="3"/>
      <c r="O18" s="3"/>
      <c r="P18" s="3"/>
      <c r="Q18" s="3"/>
      <c r="R18" s="3"/>
      <c r="S18" s="3"/>
      <c r="T18" s="3"/>
      <c r="U18" s="3"/>
      <c r="V18" s="3"/>
      <c r="W18" s="3"/>
      <c r="X18" s="3"/>
      <c r="Y18" s="3"/>
      <c r="Z18" s="3"/>
      <c r="AA18" s="3"/>
    </row>
    <row r="19">
      <c r="A19" s="11"/>
      <c r="B19" s="5">
        <v>18.0</v>
      </c>
      <c r="C19" s="6" t="s">
        <v>76</v>
      </c>
      <c r="D19" s="3"/>
      <c r="E19" s="7" t="s">
        <v>14</v>
      </c>
      <c r="F19" s="8" t="s">
        <v>77</v>
      </c>
      <c r="G19" s="10"/>
      <c r="H19" s="6" t="s">
        <v>78</v>
      </c>
      <c r="I19" s="6" t="s">
        <v>78</v>
      </c>
      <c r="J19" s="9" t="s">
        <v>18</v>
      </c>
      <c r="K19" s="10"/>
      <c r="L19" s="3"/>
      <c r="M19" s="3"/>
      <c r="N19" s="3"/>
      <c r="O19" s="3"/>
      <c r="P19" s="3"/>
      <c r="Q19" s="3"/>
      <c r="R19" s="3"/>
      <c r="S19" s="3"/>
      <c r="T19" s="3"/>
      <c r="U19" s="3"/>
      <c r="V19" s="3"/>
      <c r="W19" s="3"/>
      <c r="X19" s="3"/>
      <c r="Y19" s="3"/>
      <c r="Z19" s="3"/>
      <c r="AA19" s="3"/>
    </row>
    <row r="20">
      <c r="A20" s="12"/>
      <c r="B20" s="5">
        <v>19.0</v>
      </c>
      <c r="C20" s="6" t="s">
        <v>79</v>
      </c>
      <c r="D20" s="7" t="s">
        <v>61</v>
      </c>
      <c r="E20" s="7" t="s">
        <v>14</v>
      </c>
      <c r="F20" s="8" t="s">
        <v>80</v>
      </c>
      <c r="G20" s="10"/>
      <c r="H20" s="6" t="s">
        <v>81</v>
      </c>
      <c r="I20" s="6" t="s">
        <v>81</v>
      </c>
      <c r="J20" s="9" t="s">
        <v>18</v>
      </c>
      <c r="K20" s="10"/>
      <c r="L20" s="3"/>
      <c r="M20" s="3"/>
      <c r="N20" s="3"/>
      <c r="O20" s="3"/>
      <c r="P20" s="3"/>
      <c r="Q20" s="3"/>
      <c r="R20" s="3"/>
      <c r="S20" s="3"/>
      <c r="T20" s="3"/>
      <c r="U20" s="3"/>
      <c r="V20" s="3"/>
      <c r="W20" s="3"/>
      <c r="X20" s="3"/>
      <c r="Y20" s="3"/>
      <c r="Z20" s="3"/>
      <c r="AA20" s="3"/>
    </row>
    <row r="21">
      <c r="A21" s="4" t="s">
        <v>82</v>
      </c>
      <c r="B21" s="5">
        <v>20.0</v>
      </c>
      <c r="C21" s="6" t="s">
        <v>83</v>
      </c>
      <c r="D21" s="7" t="s">
        <v>61</v>
      </c>
      <c r="E21" s="7" t="s">
        <v>14</v>
      </c>
      <c r="F21" s="13" t="s">
        <v>84</v>
      </c>
      <c r="G21" s="10"/>
      <c r="H21" s="6" t="s">
        <v>85</v>
      </c>
      <c r="I21" s="6" t="s">
        <v>85</v>
      </c>
      <c r="J21" s="9" t="s">
        <v>18</v>
      </c>
      <c r="K21" s="10"/>
      <c r="L21" s="3"/>
      <c r="M21" s="3"/>
      <c r="N21" s="3"/>
      <c r="O21" s="3"/>
      <c r="P21" s="3"/>
      <c r="Q21" s="3"/>
      <c r="R21" s="3"/>
      <c r="S21" s="3"/>
      <c r="T21" s="3"/>
      <c r="U21" s="3"/>
      <c r="V21" s="3"/>
      <c r="W21" s="3"/>
      <c r="X21" s="3"/>
      <c r="Y21" s="3"/>
      <c r="Z21" s="3"/>
      <c r="AA21" s="3"/>
    </row>
    <row r="22">
      <c r="A22" s="11"/>
      <c r="B22" s="5">
        <v>21.0</v>
      </c>
      <c r="C22" s="6" t="s">
        <v>86</v>
      </c>
      <c r="D22" s="7" t="s">
        <v>13</v>
      </c>
      <c r="E22" s="7" t="s">
        <v>14</v>
      </c>
      <c r="F22" s="13" t="s">
        <v>87</v>
      </c>
      <c r="G22" s="10"/>
      <c r="H22" s="6" t="s">
        <v>63</v>
      </c>
      <c r="I22" s="6" t="s">
        <v>63</v>
      </c>
      <c r="J22" s="9" t="s">
        <v>18</v>
      </c>
      <c r="K22" s="10"/>
      <c r="L22" s="3"/>
      <c r="M22" s="3"/>
      <c r="N22" s="3"/>
      <c r="O22" s="3"/>
      <c r="P22" s="3"/>
      <c r="Q22" s="3"/>
      <c r="R22" s="3"/>
      <c r="S22" s="3"/>
      <c r="T22" s="3"/>
      <c r="U22" s="3"/>
      <c r="V22" s="3"/>
      <c r="W22" s="3"/>
      <c r="X22" s="3"/>
      <c r="Y22" s="3"/>
      <c r="Z22" s="3"/>
      <c r="AA22" s="3"/>
    </row>
    <row r="23">
      <c r="A23" s="11"/>
      <c r="B23" s="5">
        <v>22.0</v>
      </c>
      <c r="C23" s="6" t="s">
        <v>88</v>
      </c>
      <c r="D23" s="7" t="s">
        <v>13</v>
      </c>
      <c r="E23" s="7" t="s">
        <v>14</v>
      </c>
      <c r="F23" s="8" t="s">
        <v>89</v>
      </c>
      <c r="G23" s="10"/>
      <c r="H23" s="6" t="s">
        <v>90</v>
      </c>
      <c r="I23" s="6" t="s">
        <v>90</v>
      </c>
      <c r="J23" s="9" t="s">
        <v>18</v>
      </c>
      <c r="K23" s="10"/>
      <c r="L23" s="3"/>
      <c r="M23" s="3"/>
      <c r="N23" s="3"/>
      <c r="O23" s="3"/>
      <c r="P23" s="3"/>
      <c r="Q23" s="3"/>
      <c r="R23" s="3"/>
      <c r="S23" s="3"/>
      <c r="T23" s="3"/>
      <c r="U23" s="3"/>
      <c r="V23" s="3"/>
      <c r="W23" s="3"/>
      <c r="X23" s="3"/>
      <c r="Y23" s="3"/>
      <c r="Z23" s="3"/>
      <c r="AA23" s="3"/>
    </row>
    <row r="24">
      <c r="A24" s="12"/>
      <c r="B24" s="5">
        <v>23.0</v>
      </c>
      <c r="C24" s="6" t="s">
        <v>91</v>
      </c>
      <c r="D24" s="7" t="s">
        <v>13</v>
      </c>
      <c r="E24" s="7" t="s">
        <v>14</v>
      </c>
      <c r="F24" s="8" t="s">
        <v>92</v>
      </c>
      <c r="G24" s="10"/>
      <c r="H24" s="6" t="s">
        <v>81</v>
      </c>
      <c r="I24" s="6" t="s">
        <v>81</v>
      </c>
      <c r="J24" s="9" t="s">
        <v>18</v>
      </c>
      <c r="K24" s="10"/>
      <c r="L24" s="3"/>
      <c r="M24" s="3"/>
      <c r="N24" s="3"/>
      <c r="O24" s="3"/>
      <c r="P24" s="3"/>
      <c r="Q24" s="3"/>
      <c r="R24" s="3"/>
      <c r="S24" s="3"/>
      <c r="T24" s="3"/>
      <c r="U24" s="3"/>
      <c r="V24" s="3"/>
      <c r="W24" s="3"/>
      <c r="X24" s="3"/>
      <c r="Y24" s="3"/>
      <c r="Z24" s="3"/>
      <c r="AA24" s="3"/>
    </row>
    <row r="25">
      <c r="A25" s="4" t="s">
        <v>93</v>
      </c>
      <c r="B25" s="5">
        <v>24.0</v>
      </c>
      <c r="C25" s="6" t="s">
        <v>94</v>
      </c>
      <c r="D25" s="7" t="s">
        <v>13</v>
      </c>
      <c r="E25" s="7" t="s">
        <v>14</v>
      </c>
      <c r="F25" s="8" t="s">
        <v>95</v>
      </c>
      <c r="G25" s="5" t="s">
        <v>96</v>
      </c>
      <c r="H25" s="16" t="s">
        <v>97</v>
      </c>
      <c r="I25" s="16" t="s">
        <v>97</v>
      </c>
      <c r="J25" s="9" t="s">
        <v>18</v>
      </c>
      <c r="K25" s="10"/>
      <c r="L25" s="3"/>
      <c r="M25" s="3"/>
      <c r="N25" s="3"/>
      <c r="O25" s="3"/>
      <c r="P25" s="3"/>
      <c r="Q25" s="3"/>
      <c r="R25" s="3"/>
      <c r="S25" s="3"/>
      <c r="T25" s="3"/>
      <c r="U25" s="3"/>
      <c r="V25" s="3"/>
      <c r="W25" s="3"/>
      <c r="X25" s="3"/>
      <c r="Y25" s="3"/>
      <c r="Z25" s="3"/>
      <c r="AA25" s="3"/>
    </row>
    <row r="26">
      <c r="A26" s="11"/>
      <c r="B26" s="5">
        <v>25.0</v>
      </c>
      <c r="C26" s="6" t="s">
        <v>98</v>
      </c>
      <c r="D26" s="7" t="s">
        <v>13</v>
      </c>
      <c r="E26" s="7" t="s">
        <v>14</v>
      </c>
      <c r="F26" s="8" t="s">
        <v>99</v>
      </c>
      <c r="G26" s="5" t="s">
        <v>100</v>
      </c>
      <c r="H26" s="17" t="s">
        <v>101</v>
      </c>
      <c r="I26" s="17" t="s">
        <v>101</v>
      </c>
      <c r="J26" s="9" t="s">
        <v>18</v>
      </c>
      <c r="K26" s="10"/>
      <c r="L26" s="3"/>
      <c r="M26" s="3"/>
      <c r="N26" s="3"/>
      <c r="O26" s="3"/>
      <c r="P26" s="3"/>
      <c r="Q26" s="3"/>
      <c r="R26" s="3"/>
      <c r="S26" s="3"/>
      <c r="T26" s="3"/>
      <c r="U26" s="3"/>
      <c r="V26" s="3"/>
      <c r="W26" s="3"/>
      <c r="X26" s="3"/>
      <c r="Y26" s="3"/>
      <c r="Z26" s="3"/>
      <c r="AA26" s="3"/>
    </row>
    <row r="27">
      <c r="A27" s="11"/>
      <c r="B27" s="5">
        <v>26.0</v>
      </c>
      <c r="C27" s="6" t="s">
        <v>102</v>
      </c>
      <c r="D27" s="7" t="s">
        <v>13</v>
      </c>
      <c r="E27" s="7" t="s">
        <v>14</v>
      </c>
      <c r="F27" s="8" t="s">
        <v>103</v>
      </c>
      <c r="G27" s="5" t="s">
        <v>104</v>
      </c>
      <c r="H27" s="17" t="s">
        <v>105</v>
      </c>
      <c r="I27" s="17" t="s">
        <v>105</v>
      </c>
      <c r="J27" s="9" t="s">
        <v>18</v>
      </c>
      <c r="K27" s="10"/>
      <c r="L27" s="3"/>
      <c r="M27" s="3"/>
      <c r="N27" s="3"/>
      <c r="O27" s="3"/>
      <c r="P27" s="3"/>
      <c r="Q27" s="3"/>
      <c r="R27" s="3"/>
      <c r="S27" s="3"/>
      <c r="T27" s="3"/>
      <c r="U27" s="3"/>
      <c r="V27" s="3"/>
      <c r="W27" s="3"/>
      <c r="X27" s="3"/>
      <c r="Y27" s="3"/>
      <c r="Z27" s="3"/>
      <c r="AA27" s="3"/>
    </row>
    <row r="28">
      <c r="A28" s="11"/>
      <c r="B28" s="5">
        <v>27.0</v>
      </c>
      <c r="C28" s="6" t="s">
        <v>106</v>
      </c>
      <c r="D28" s="7" t="s">
        <v>13</v>
      </c>
      <c r="E28" s="7" t="s">
        <v>14</v>
      </c>
      <c r="F28" s="8" t="s">
        <v>107</v>
      </c>
      <c r="G28" s="5" t="s">
        <v>108</v>
      </c>
      <c r="H28" s="6" t="s">
        <v>63</v>
      </c>
      <c r="I28" s="6" t="s">
        <v>63</v>
      </c>
      <c r="J28" s="9" t="s">
        <v>18</v>
      </c>
      <c r="K28" s="10"/>
      <c r="L28" s="3"/>
      <c r="M28" s="3"/>
      <c r="N28" s="3"/>
      <c r="O28" s="3"/>
      <c r="P28" s="3"/>
      <c r="Q28" s="3"/>
      <c r="R28" s="3"/>
      <c r="S28" s="3"/>
      <c r="T28" s="3"/>
      <c r="U28" s="3"/>
      <c r="V28" s="3"/>
      <c r="W28" s="3"/>
      <c r="X28" s="3"/>
      <c r="Y28" s="3"/>
      <c r="Z28" s="3"/>
      <c r="AA28" s="3"/>
    </row>
    <row r="29">
      <c r="A29" s="12"/>
      <c r="B29" s="5">
        <v>28.0</v>
      </c>
      <c r="C29" s="6" t="s">
        <v>109</v>
      </c>
      <c r="D29" s="7" t="s">
        <v>13</v>
      </c>
      <c r="E29" s="7" t="s">
        <v>14</v>
      </c>
      <c r="F29" s="8" t="s">
        <v>110</v>
      </c>
      <c r="G29" s="10"/>
      <c r="H29" s="6" t="s">
        <v>111</v>
      </c>
      <c r="I29" s="6" t="s">
        <v>111</v>
      </c>
      <c r="J29" s="9" t="s">
        <v>18</v>
      </c>
      <c r="K29" s="10"/>
      <c r="L29" s="3"/>
      <c r="M29" s="3"/>
      <c r="N29" s="3"/>
      <c r="O29" s="3"/>
      <c r="P29" s="3"/>
      <c r="Q29" s="3"/>
      <c r="R29" s="3"/>
      <c r="S29" s="3"/>
      <c r="T29" s="3"/>
      <c r="U29" s="3"/>
      <c r="V29" s="3"/>
      <c r="W29" s="3"/>
      <c r="X29" s="3"/>
      <c r="Y29" s="3"/>
      <c r="Z29" s="3"/>
      <c r="AA29" s="3"/>
    </row>
    <row r="30">
      <c r="A30" s="4" t="s">
        <v>112</v>
      </c>
      <c r="B30" s="5">
        <v>29.0</v>
      </c>
      <c r="C30" s="6" t="s">
        <v>113</v>
      </c>
      <c r="D30" s="7" t="s">
        <v>13</v>
      </c>
      <c r="E30" s="7" t="s">
        <v>14</v>
      </c>
      <c r="F30" s="8" t="s">
        <v>114</v>
      </c>
      <c r="G30" s="10"/>
      <c r="H30" s="6" t="s">
        <v>63</v>
      </c>
      <c r="I30" s="6" t="s">
        <v>63</v>
      </c>
      <c r="J30" s="9" t="s">
        <v>18</v>
      </c>
      <c r="K30" s="10"/>
      <c r="L30" s="3"/>
      <c r="M30" s="3"/>
      <c r="N30" s="3"/>
      <c r="O30" s="3"/>
      <c r="P30" s="3"/>
      <c r="Q30" s="3"/>
      <c r="R30" s="3"/>
      <c r="S30" s="3"/>
      <c r="T30" s="3"/>
      <c r="U30" s="3"/>
      <c r="V30" s="3"/>
      <c r="W30" s="3"/>
      <c r="X30" s="3"/>
      <c r="Y30" s="3"/>
      <c r="Z30" s="3"/>
      <c r="AA30" s="3"/>
    </row>
    <row r="31">
      <c r="A31" s="11"/>
      <c r="B31" s="5">
        <v>30.0</v>
      </c>
      <c r="C31" s="6" t="s">
        <v>115</v>
      </c>
      <c r="D31" s="7" t="s">
        <v>13</v>
      </c>
      <c r="E31" s="7" t="s">
        <v>14</v>
      </c>
      <c r="F31" s="8" t="s">
        <v>116</v>
      </c>
      <c r="G31" s="10"/>
      <c r="H31" s="6" t="s">
        <v>81</v>
      </c>
      <c r="I31" s="6" t="s">
        <v>81</v>
      </c>
      <c r="J31" s="9" t="s">
        <v>18</v>
      </c>
      <c r="K31" s="10"/>
      <c r="L31" s="3"/>
      <c r="M31" s="3"/>
      <c r="N31" s="3"/>
      <c r="O31" s="3"/>
      <c r="P31" s="3"/>
      <c r="Q31" s="3"/>
      <c r="R31" s="3"/>
      <c r="S31" s="3"/>
      <c r="T31" s="3"/>
      <c r="U31" s="3"/>
      <c r="V31" s="3"/>
      <c r="W31" s="3"/>
      <c r="X31" s="3"/>
      <c r="Y31" s="3"/>
      <c r="Z31" s="3"/>
      <c r="AA31" s="3"/>
    </row>
    <row r="32">
      <c r="A32" s="12"/>
      <c r="B32" s="5">
        <v>31.0</v>
      </c>
      <c r="C32" s="6" t="s">
        <v>109</v>
      </c>
      <c r="D32" s="7" t="s">
        <v>13</v>
      </c>
      <c r="E32" s="7" t="s">
        <v>14</v>
      </c>
      <c r="F32" s="8" t="s">
        <v>117</v>
      </c>
      <c r="G32" s="5" t="s">
        <v>108</v>
      </c>
      <c r="H32" s="6" t="s">
        <v>81</v>
      </c>
      <c r="I32" s="6" t="s">
        <v>81</v>
      </c>
      <c r="J32" s="9" t="s">
        <v>18</v>
      </c>
      <c r="K32" s="10"/>
      <c r="L32" s="3"/>
      <c r="M32" s="3"/>
      <c r="N32" s="3"/>
      <c r="O32" s="3"/>
      <c r="P32" s="3"/>
      <c r="Q32" s="3"/>
      <c r="R32" s="3"/>
      <c r="S32" s="3"/>
      <c r="T32" s="3"/>
      <c r="U32" s="3"/>
      <c r="V32" s="3"/>
      <c r="W32" s="3"/>
      <c r="X32" s="3"/>
      <c r="Y32" s="3"/>
      <c r="Z32" s="3"/>
      <c r="AA32" s="3"/>
    </row>
    <row r="33">
      <c r="A33" s="4" t="s">
        <v>118</v>
      </c>
      <c r="B33" s="5">
        <v>32.0</v>
      </c>
      <c r="C33" s="6" t="s">
        <v>119</v>
      </c>
      <c r="D33" s="7" t="s">
        <v>13</v>
      </c>
      <c r="E33" s="7" t="s">
        <v>14</v>
      </c>
      <c r="F33" s="8" t="s">
        <v>120</v>
      </c>
      <c r="G33" s="5" t="s">
        <v>108</v>
      </c>
      <c r="H33" s="6" t="s">
        <v>63</v>
      </c>
      <c r="I33" s="6" t="s">
        <v>63</v>
      </c>
      <c r="J33" s="9" t="s">
        <v>18</v>
      </c>
      <c r="K33" s="10"/>
      <c r="L33" s="3"/>
      <c r="M33" s="3"/>
      <c r="N33" s="3"/>
      <c r="O33" s="3"/>
      <c r="P33" s="3"/>
      <c r="Q33" s="3"/>
      <c r="R33" s="3"/>
      <c r="S33" s="3"/>
      <c r="T33" s="3"/>
      <c r="U33" s="3"/>
      <c r="V33" s="3"/>
      <c r="W33" s="3"/>
      <c r="X33" s="3"/>
      <c r="Y33" s="3"/>
      <c r="Z33" s="3"/>
      <c r="AA33" s="3"/>
    </row>
    <row r="34">
      <c r="A34" s="11"/>
      <c r="B34" s="5">
        <v>33.0</v>
      </c>
      <c r="C34" s="6" t="s">
        <v>121</v>
      </c>
      <c r="D34" s="7" t="s">
        <v>13</v>
      </c>
      <c r="E34" s="7" t="s">
        <v>14</v>
      </c>
      <c r="F34" s="8" t="s">
        <v>122</v>
      </c>
      <c r="G34" s="5" t="s">
        <v>108</v>
      </c>
      <c r="H34" s="6" t="s">
        <v>123</v>
      </c>
      <c r="I34" s="6" t="s">
        <v>123</v>
      </c>
      <c r="J34" s="9" t="s">
        <v>18</v>
      </c>
      <c r="K34" s="10"/>
      <c r="L34" s="3"/>
      <c r="M34" s="3"/>
      <c r="N34" s="3"/>
      <c r="O34" s="3"/>
      <c r="P34" s="3"/>
      <c r="Q34" s="3"/>
      <c r="R34" s="3"/>
      <c r="S34" s="3"/>
      <c r="T34" s="3"/>
      <c r="U34" s="3"/>
      <c r="V34" s="3"/>
      <c r="W34" s="3"/>
      <c r="X34" s="3"/>
      <c r="Y34" s="3"/>
      <c r="Z34" s="3"/>
      <c r="AA34" s="3"/>
    </row>
    <row r="35">
      <c r="A35" s="12"/>
      <c r="B35" s="5">
        <v>34.0</v>
      </c>
      <c r="C35" s="6" t="s">
        <v>124</v>
      </c>
      <c r="D35" s="7" t="s">
        <v>13</v>
      </c>
      <c r="E35" s="7" t="s">
        <v>14</v>
      </c>
      <c r="F35" s="8" t="s">
        <v>125</v>
      </c>
      <c r="G35" s="5" t="s">
        <v>108</v>
      </c>
      <c r="H35" s="16" t="s">
        <v>126</v>
      </c>
      <c r="I35" s="13" t="s">
        <v>127</v>
      </c>
      <c r="J35" s="9" t="s">
        <v>128</v>
      </c>
      <c r="K35" s="18" t="s">
        <v>129</v>
      </c>
      <c r="L35" s="3"/>
      <c r="M35" s="3"/>
      <c r="N35" s="3"/>
      <c r="O35" s="3"/>
      <c r="P35" s="3"/>
      <c r="Q35" s="3"/>
      <c r="R35" s="3"/>
      <c r="S35" s="3"/>
      <c r="T35" s="3"/>
      <c r="U35" s="3"/>
      <c r="V35" s="3"/>
      <c r="W35" s="3"/>
      <c r="X35" s="3"/>
      <c r="Y35" s="3"/>
      <c r="Z35" s="3"/>
      <c r="AA35" s="3"/>
    </row>
    <row r="36">
      <c r="A36" s="19" t="s">
        <v>130</v>
      </c>
      <c r="B36" s="5">
        <v>35.0</v>
      </c>
      <c r="C36" s="6" t="s">
        <v>131</v>
      </c>
      <c r="D36" s="7" t="s">
        <v>13</v>
      </c>
      <c r="E36" s="7" t="s">
        <v>14</v>
      </c>
      <c r="F36" s="8" t="s">
        <v>132</v>
      </c>
      <c r="G36" s="5" t="s">
        <v>133</v>
      </c>
      <c r="H36" s="6" t="s">
        <v>134</v>
      </c>
      <c r="I36" s="6" t="s">
        <v>134</v>
      </c>
      <c r="J36" s="9" t="s">
        <v>18</v>
      </c>
      <c r="K36" s="10"/>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sheetData>
  <mergeCells count="7">
    <mergeCell ref="A2:A6"/>
    <mergeCell ref="A7:A16"/>
    <mergeCell ref="A17:A20"/>
    <mergeCell ref="A21:A24"/>
    <mergeCell ref="A25:A29"/>
    <mergeCell ref="A30:A32"/>
    <mergeCell ref="A33:A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135</v>
      </c>
      <c r="B1" s="20" t="s">
        <v>136</v>
      </c>
      <c r="C1" s="20" t="s">
        <v>137</v>
      </c>
      <c r="D1" s="20" t="s">
        <v>138</v>
      </c>
      <c r="E1" s="20" t="s">
        <v>139</v>
      </c>
      <c r="F1" s="20" t="s">
        <v>140</v>
      </c>
      <c r="G1" s="20" t="s">
        <v>141</v>
      </c>
      <c r="H1" s="20" t="s">
        <v>142</v>
      </c>
      <c r="I1" s="20" t="s">
        <v>139</v>
      </c>
      <c r="J1" s="21"/>
      <c r="K1" s="3"/>
      <c r="L1" s="3"/>
      <c r="M1" s="3"/>
      <c r="N1" s="3"/>
      <c r="O1" s="3"/>
      <c r="P1" s="3"/>
      <c r="Q1" s="3"/>
      <c r="R1" s="3"/>
      <c r="S1" s="3"/>
      <c r="T1" s="3"/>
      <c r="U1" s="3"/>
      <c r="V1" s="3"/>
      <c r="W1" s="3"/>
      <c r="X1" s="3"/>
      <c r="Y1" s="3"/>
      <c r="Z1" s="3"/>
      <c r="AA1" s="3"/>
    </row>
    <row r="2">
      <c r="A2" s="22">
        <f>COUNTIF(Foaie1!C:C,"*")</f>
        <v>36</v>
      </c>
      <c r="B2" s="22">
        <f>COUNTIF(Foaie1!J:J,"Pass")</f>
        <v>34</v>
      </c>
      <c r="C2" s="22">
        <f>COUNTIF( Foaie1!J:J,"Fail")</f>
        <v>1</v>
      </c>
      <c r="D2" s="22">
        <f>COUNTIF( Foaie1!J:J,"Blocked")</f>
        <v>0</v>
      </c>
      <c r="E2" s="22">
        <f>B2+C2</f>
        <v>35</v>
      </c>
      <c r="F2" s="23">
        <f>(D2/A2)*100</f>
        <v>0</v>
      </c>
      <c r="G2" s="22">
        <f>(C2/A2)*100</f>
        <v>2.777777778</v>
      </c>
      <c r="H2" s="23">
        <f>(B2/A2)*100</f>
        <v>94.44444444</v>
      </c>
      <c r="I2" s="24">
        <f>((B2+C2)/A2)*100</f>
        <v>97.22222222</v>
      </c>
      <c r="J2" s="10"/>
      <c r="K2" s="3"/>
      <c r="L2" s="3"/>
      <c r="M2" s="3"/>
      <c r="N2" s="3"/>
      <c r="O2" s="3"/>
      <c r="P2" s="3"/>
      <c r="Q2" s="3"/>
      <c r="R2" s="3"/>
      <c r="S2" s="3"/>
      <c r="T2" s="3"/>
      <c r="U2" s="3"/>
      <c r="V2" s="3"/>
      <c r="W2" s="3"/>
      <c r="X2" s="3"/>
      <c r="Y2" s="3"/>
      <c r="Z2" s="3"/>
      <c r="AA2" s="3"/>
    </row>
    <row r="3">
      <c r="A3" s="25"/>
      <c r="B3" s="10"/>
      <c r="C3" s="10"/>
      <c r="D3" s="10"/>
      <c r="E3" s="10"/>
      <c r="F3" s="10"/>
      <c r="G3" s="10"/>
      <c r="H3" s="10"/>
      <c r="I3" s="10"/>
      <c r="J3" s="10"/>
      <c r="K3" s="3"/>
      <c r="L3" s="3"/>
      <c r="M3" s="3"/>
      <c r="N3" s="3"/>
      <c r="O3" s="3"/>
      <c r="P3" s="3"/>
      <c r="Q3" s="3"/>
      <c r="R3" s="3"/>
      <c r="S3" s="3"/>
      <c r="T3" s="3"/>
      <c r="U3" s="3"/>
      <c r="V3" s="3"/>
      <c r="W3" s="3"/>
      <c r="X3" s="3"/>
      <c r="Y3" s="3"/>
      <c r="Z3" s="3"/>
      <c r="AA3" s="3"/>
    </row>
    <row r="4">
      <c r="A4" s="26"/>
      <c r="B4" s="10"/>
      <c r="C4" s="10"/>
      <c r="D4" s="10"/>
      <c r="E4" s="10"/>
      <c r="F4" s="10"/>
      <c r="G4" s="10"/>
      <c r="H4" s="10"/>
      <c r="I4" s="10"/>
      <c r="J4" s="10"/>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